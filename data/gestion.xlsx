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استيراد الملخص" sheetId="1" r:id="rId5"/>
    <sheet name="Feuille1" sheetId="2" r:id="rId6"/>
    <sheet name="Reference Table" sheetId="3" r:id="rId7"/>
    <sheet name="Solution" sheetId="4" r:id="rId8"/>
  </sheets>
</workbook>
</file>

<file path=xl/comments1.xml><?xml version="1.0" encoding="utf-8"?>
<comments xmlns="http://schemas.openxmlformats.org/spreadsheetml/2006/main">
  <authors>
    <author>Rafiul Haq</author>
  </authors>
  <commentList>
    <comment ref="B4" authorId="0">
      <text>
        <r>
          <rPr>
            <sz val="11"/>
            <color indexed="8"/>
            <rFont val="Helvetica Neue"/>
          </rPr>
          <t>Rafiul Haq:
Use the cell range B5:B11 for the Data Validation list.</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<sst xmlns="http://schemas.openxmlformats.org/spreadsheetml/2006/main" uniqueCount="68">
  <si>
    <t>تم تصدير هذا المستند من برنامج الأعداد.  تم تحويل كل جدول إلى ورقة عمل Excel. كل العناصر الأخرى في كل ورقة من أوراق برنامج الأعداد تم وضعهم في أوراق عمل منفصلة. الرجاء مراعاة أن حساب الصيغ قد يختلف في Excel.</t>
  </si>
  <si>
    <t>اسم ورقة برنامج الأعداد</t>
  </si>
  <si>
    <t>اسم جدول برنامج الأعداد</t>
  </si>
  <si>
    <t>اسم ورقة عمل Excel</t>
  </si>
  <si>
    <t>Feuille1</t>
  </si>
  <si>
    <t>الجدول ١</t>
  </si>
  <si>
    <t>Sample Excel File with Employee Data for Practice</t>
  </si>
  <si>
    <t>Name</t>
  </si>
  <si>
    <t>Joining Date</t>
  </si>
  <si>
    <t>Email Address</t>
  </si>
  <si>
    <t>Department</t>
  </si>
  <si>
    <t>Monthly Salary</t>
  </si>
  <si>
    <t>Job Status</t>
  </si>
  <si>
    <t>Mark</t>
  </si>
  <si>
    <t>Brian</t>
  </si>
  <si>
    <t>Alan</t>
  </si>
  <si>
    <t>Tony</t>
  </si>
  <si>
    <t>Agatha</t>
  </si>
  <si>
    <t>Lana</t>
  </si>
  <si>
    <t>Heather</t>
  </si>
  <si>
    <t>Ben</t>
  </si>
  <si>
    <t>Caitlyn</t>
  </si>
  <si>
    <t>Gibbs</t>
  </si>
  <si>
    <t>Anderson</t>
  </si>
  <si>
    <t>Michael</t>
  </si>
  <si>
    <t>David</t>
  </si>
  <si>
    <t>Jacob</t>
  </si>
  <si>
    <t>John</t>
  </si>
  <si>
    <t>Leonardo</t>
  </si>
  <si>
    <t>Matthew</t>
  </si>
  <si>
    <t>Joana</t>
  </si>
  <si>
    <t>Ross</t>
  </si>
  <si>
    <t>Joey</t>
  </si>
  <si>
    <t>Jack</t>
  </si>
  <si>
    <t>Today's Date</t>
  </si>
  <si>
    <t>Reference Table</t>
  </si>
  <si>
    <t>Salary Structure</t>
  </si>
  <si>
    <t>Salary</t>
  </si>
  <si>
    <t>Human Resources</t>
  </si>
  <si>
    <t>Sales</t>
  </si>
  <si>
    <t>Legal</t>
  </si>
  <si>
    <t>Retail</t>
  </si>
  <si>
    <t>Accounting</t>
  </si>
  <si>
    <t>Support</t>
  </si>
  <si>
    <t>Business Development</t>
  </si>
  <si>
    <t>Solution</t>
  </si>
  <si>
    <t>Mark@demomail.com</t>
  </si>
  <si>
    <t>Permanent</t>
  </si>
  <si>
    <t>Brian@demomail.com</t>
  </si>
  <si>
    <t>Alan@demomail.com</t>
  </si>
  <si>
    <t>Tony@demomail.com</t>
  </si>
  <si>
    <t>Agatha@demomail.com</t>
  </si>
  <si>
    <t>Lana@demomail.com</t>
  </si>
  <si>
    <t>Heather@demomail.com</t>
  </si>
  <si>
    <t>Ben@demomail.com</t>
  </si>
  <si>
    <t>Caitlyn@demomail.com</t>
  </si>
  <si>
    <t>Gibbs@demomail.com</t>
  </si>
  <si>
    <t>Anderson@demomail.com</t>
  </si>
  <si>
    <t>Michael@demomail.com</t>
  </si>
  <si>
    <t>David@demomail.com</t>
  </si>
  <si>
    <t>Jacob@demomail.com</t>
  </si>
  <si>
    <t>John@demomail.com</t>
  </si>
  <si>
    <t>Leonardo@demomail.com</t>
  </si>
  <si>
    <t>Matthew@demomail.com</t>
  </si>
  <si>
    <t>Joana@demomail.com</t>
  </si>
  <si>
    <t>Ross@demomail.com</t>
  </si>
  <si>
    <t>Joey@demomail.com</t>
  </si>
  <si>
    <t>Jack@demomail.com</t>
  </si>
</sst>
</file>

<file path=xl/styles.xml><?xml version="1.0" encoding="utf-8"?>
<styleSheet xmlns="http://schemas.openxmlformats.org/spreadsheetml/2006/main">
  <numFmts count="4">
    <numFmt numFmtId="0" formatCode="General"/>
    <numFmt numFmtId="59" formatCode="dd&quot;-&quot;mmm&quot;-&quot;yy"/>
    <numFmt numFmtId="60" formatCode="[$$-409] #,##0"/>
    <numFmt numFmtId="61" formatCode="[$$-409]#,##0&quot; &quot;;([$$-409]#,##0)"/>
  </numFmts>
  <fonts count="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6"/>
      <color indexed="14"/>
      <name val="Calibri"/>
    </font>
    <font>
      <b val="1"/>
      <sz val="14"/>
      <color indexed="8"/>
      <name val="Calibri"/>
    </font>
    <font>
      <sz val="11"/>
      <color indexed="8"/>
      <name val="Helvetica Neue"/>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s>
  <borders count="19">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right/>
      <top/>
      <bottom style="thin">
        <color indexed="8"/>
      </bottom>
      <diagonal/>
    </border>
    <border>
      <left style="thin">
        <color indexed="13"/>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right/>
      <top style="thin">
        <color indexed="8"/>
      </top>
      <bottom style="thin">
        <color indexed="8"/>
      </bottom>
      <diagonal/>
    </border>
    <border>
      <left/>
      <right/>
      <top style="thin">
        <color indexed="8"/>
      </top>
      <bottom/>
      <diagonal/>
    </border>
    <border>
      <left style="thin">
        <color indexed="13"/>
      </left>
      <right style="thin">
        <color indexed="8"/>
      </right>
      <top/>
      <bottom style="thin">
        <color indexed="13"/>
      </bottom>
      <diagonal/>
    </border>
    <border>
      <left style="thin">
        <color indexed="8"/>
      </left>
      <right/>
      <top/>
      <bottom style="thin">
        <color indexed="13"/>
      </bottom>
      <diagonal/>
    </border>
    <border>
      <left/>
      <right/>
      <top/>
      <bottom style="thin">
        <color indexed="13"/>
      </bottom>
      <diagonal/>
    </border>
    <border>
      <left/>
      <right style="thin">
        <color indexed="13"/>
      </right>
      <top/>
      <bottom style="thin">
        <color indexed="13"/>
      </bottom>
      <diagonal/>
    </border>
    <border>
      <left/>
      <right/>
      <top/>
      <bottom style="thick">
        <color indexed="17"/>
      </bottom>
      <diagonal/>
    </border>
    <border>
      <left/>
      <right/>
      <top style="thick">
        <color indexed="17"/>
      </top>
      <bottom style="thin">
        <color indexed="8"/>
      </bottom>
      <diagonal/>
    </border>
  </borders>
  <cellStyleXfs count="1">
    <xf numFmtId="0" fontId="0" applyNumberFormat="0" applyFont="1" applyFill="0" applyBorder="0" applyAlignment="1" applyProtection="0">
      <alignment vertical="bottom"/>
    </xf>
  </cellStyleXfs>
  <cellXfs count="41">
    <xf numFmtId="0" fontId="0" applyNumberFormat="0" applyFont="1" applyFill="0" applyBorder="0" applyAlignment="1" applyProtection="0">
      <alignment vertical="bottom"/>
    </xf>
    <xf numFmtId="0" fontId="1" applyNumberFormat="0" applyFont="1" applyFill="0" applyBorder="0" applyAlignment="1" applyProtection="0">
      <alignment horizontal="right" vertical="bottom" wrapText="1" readingOrder="2"/>
    </xf>
    <xf numFmtId="0" fontId="2" applyNumberFormat="0" applyFont="1" applyFill="0" applyBorder="0" applyAlignment="1" applyProtection="0">
      <alignment horizontal="right" vertical="bottom" readingOrder="2"/>
    </xf>
    <xf numFmtId="0" fontId="1" fillId="2" applyNumberFormat="0" applyFont="1" applyFill="1" applyBorder="0" applyAlignment="1" applyProtection="0">
      <alignment horizontal="right" vertical="bottom"/>
    </xf>
    <xf numFmtId="0" fontId="1" fillId="3" applyNumberFormat="0" applyFont="1" applyFill="1" applyBorder="0" applyAlignment="1" applyProtection="0">
      <alignment horizontal="right" vertical="bottom" readingOrder="2"/>
    </xf>
    <xf numFmtId="0" fontId="4" fillId="3" applyNumberFormat="0" applyFont="1" applyFill="1" applyBorder="0" applyAlignment="1" applyProtection="0">
      <alignment horizontal="righ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center"/>
    </xf>
    <xf numFmtId="0" fontId="0" fillId="4" borderId="2" applyNumberFormat="0" applyFont="1" applyFill="1" applyBorder="1" applyAlignment="1" applyProtection="0">
      <alignment vertical="center"/>
    </xf>
    <xf numFmtId="0" fontId="0" fillId="4" borderId="3" applyNumberFormat="0" applyFont="1" applyFill="1" applyBorder="1" applyAlignment="1" applyProtection="0">
      <alignment vertical="center"/>
    </xf>
    <xf numFmtId="0" fontId="0" fillId="4" borderId="4" applyNumberFormat="0" applyFont="1" applyFill="1" applyBorder="1" applyAlignment="1" applyProtection="0">
      <alignment vertical="center"/>
    </xf>
    <xf numFmtId="49" fontId="6" fillId="5" borderId="5" applyNumberFormat="1" applyFont="1" applyFill="1" applyBorder="1" applyAlignment="1" applyProtection="0">
      <alignment horizontal="center" vertical="center"/>
    </xf>
    <xf numFmtId="0" fontId="6" fillId="5" borderId="5" applyNumberFormat="0" applyFont="1" applyFill="1" applyBorder="1" applyAlignment="1" applyProtection="0">
      <alignment horizontal="center" vertical="center"/>
    </xf>
    <xf numFmtId="0" fontId="0" fillId="4" borderId="5" applyNumberFormat="0" applyFont="1" applyFill="1" applyBorder="1" applyAlignment="1" applyProtection="0">
      <alignment vertical="bottom"/>
    </xf>
    <xf numFmtId="0" fontId="0" fillId="4" borderId="5" applyNumberFormat="0" applyFont="1" applyFill="1" applyBorder="1" applyAlignment="1" applyProtection="0">
      <alignment vertical="center"/>
    </xf>
    <xf numFmtId="0" fontId="0" fillId="4" borderId="6" applyNumberFormat="0" applyFont="1" applyFill="1" applyBorder="1" applyAlignment="1" applyProtection="0">
      <alignment vertical="center"/>
    </xf>
    <xf numFmtId="0" fontId="0" fillId="4" borderId="7" applyNumberFormat="0" applyFont="1" applyFill="1" applyBorder="1" applyAlignment="1" applyProtection="0">
      <alignment vertical="center"/>
    </xf>
    <xf numFmtId="0" fontId="0" fillId="4" borderId="8" applyNumberFormat="0" applyFont="1" applyFill="1" applyBorder="1" applyAlignment="1" applyProtection="0">
      <alignment vertical="center"/>
    </xf>
    <xf numFmtId="49" fontId="7" fillId="6" borderId="9" applyNumberFormat="1" applyFont="1" applyFill="1" applyBorder="1" applyAlignment="1" applyProtection="0">
      <alignment horizontal="center" vertical="center"/>
    </xf>
    <xf numFmtId="0" fontId="0" fillId="4" borderId="10" applyNumberFormat="0" applyFont="1" applyFill="1" applyBorder="1" applyAlignment="1" applyProtection="0">
      <alignment vertical="center"/>
    </xf>
    <xf numFmtId="49" fontId="0" fillId="4" borderId="9" applyNumberFormat="1" applyFont="1" applyFill="1" applyBorder="1" applyAlignment="1" applyProtection="0">
      <alignment vertical="center"/>
    </xf>
    <xf numFmtId="59" fontId="0" fillId="4" borderId="9" applyNumberFormat="1" applyFont="1" applyFill="1" applyBorder="1" applyAlignment="1" applyProtection="0">
      <alignment vertical="center"/>
    </xf>
    <xf numFmtId="0" fontId="0" fillId="4" borderId="9" applyNumberFormat="0" applyFont="1" applyFill="1" applyBorder="1" applyAlignment="1" applyProtection="0">
      <alignment vertical="center"/>
    </xf>
    <xf numFmtId="60" fontId="0" fillId="4" borderId="9" applyNumberFormat="1" applyFont="1" applyFill="1" applyBorder="1" applyAlignment="1" applyProtection="0">
      <alignment vertical="center"/>
    </xf>
    <xf numFmtId="14" fontId="0" fillId="4" borderId="5" applyNumberFormat="1" applyFont="1" applyFill="1" applyBorder="1" applyAlignment="1" applyProtection="0">
      <alignment vertical="center"/>
    </xf>
    <xf numFmtId="0" fontId="0" fillId="4" borderId="10" applyNumberFormat="0" applyFont="1" applyFill="1" applyBorder="1" applyAlignment="1" applyProtection="0">
      <alignment vertical="bottom"/>
    </xf>
    <xf numFmtId="0" fontId="0" fillId="4" borderId="11" applyNumberFormat="0" applyFont="1" applyFill="1" applyBorder="1" applyAlignment="1" applyProtection="0">
      <alignment vertical="center"/>
    </xf>
    <xf numFmtId="0" fontId="0" fillId="4" borderId="12" applyNumberFormat="0" applyFont="1" applyFill="1" applyBorder="1" applyAlignment="1" applyProtection="0">
      <alignment vertical="center"/>
    </xf>
    <xf numFmtId="49" fontId="7" fillId="6" borderId="9" applyNumberFormat="1" applyFont="1" applyFill="1" applyBorder="1" applyAlignment="1" applyProtection="0">
      <alignment vertical="center"/>
    </xf>
    <xf numFmtId="0" fontId="0" fillId="4" borderId="13" applyNumberFormat="0" applyFont="1" applyFill="1" applyBorder="1" applyAlignment="1" applyProtection="0">
      <alignment vertical="center"/>
    </xf>
    <xf numFmtId="0" fontId="0" fillId="4" borderId="14" applyNumberFormat="0" applyFont="1" applyFill="1" applyBorder="1" applyAlignment="1" applyProtection="0">
      <alignment vertical="center"/>
    </xf>
    <xf numFmtId="0" fontId="0" fillId="4" borderId="15" applyNumberFormat="0" applyFont="1" applyFill="1" applyBorder="1" applyAlignment="1" applyProtection="0">
      <alignment vertical="center"/>
    </xf>
    <xf numFmtId="0" fontId="0" fillId="4" borderId="16" applyNumberFormat="0" applyFont="1" applyFill="1" applyBorder="1" applyAlignment="1" applyProtection="0">
      <alignment vertical="center"/>
    </xf>
    <xf numFmtId="0" fontId="0" applyNumberFormat="1" applyFont="1" applyFill="0" applyBorder="0" applyAlignment="1" applyProtection="0">
      <alignment vertical="bottom"/>
    </xf>
    <xf numFmtId="49" fontId="6" fillId="5" borderId="17" applyNumberFormat="1" applyFont="1" applyFill="1" applyBorder="1" applyAlignment="1" applyProtection="0">
      <alignment horizontal="center" vertical="center"/>
    </xf>
    <xf numFmtId="0" fontId="6" fillId="5" borderId="17" applyNumberFormat="0" applyFont="1" applyFill="1" applyBorder="1" applyAlignment="1" applyProtection="0">
      <alignment horizontal="center" vertical="center"/>
    </xf>
    <xf numFmtId="0" fontId="0" fillId="4" borderId="18" applyNumberFormat="0" applyFont="1" applyFill="1" applyBorder="1" applyAlignment="1" applyProtection="0">
      <alignment vertical="center"/>
    </xf>
    <xf numFmtId="61" fontId="0" fillId="4" borderId="9" applyNumberFormat="1" applyFont="1" applyFill="1" applyBorder="1" applyAlignment="1" applyProtection="0">
      <alignment vertical="center"/>
    </xf>
    <xf numFmtId="14" fontId="0" fillId="4" borderId="6" applyNumberFormat="1" applyFont="1" applyFill="1" applyBorder="1" applyAlignment="1" applyProtection="0">
      <alignment vertical="center"/>
    </xf>
    <xf numFmtId="14" fontId="0" fillId="4" borderId="16" applyNumberFormat="1" applyFont="1" applyFill="1" applyBorder="1" applyAlignment="1" applyProtection="0">
      <alignment vertical="center"/>
    </xf>
    <xf numFmtId="0" fontId="0" applyNumberFormat="1" applyFont="1" applyFill="0" applyBorder="0" applyAlignment="1" applyProtection="0">
      <alignment vertical="bottom"/>
    </xf>
  </cellXfs>
  <cellStyles count="1">
    <cellStyle name="Normal" xfId="0" builtinId="0"/>
  </cellStyles>
  <dxfs count="1">
    <dxf>
      <font>
        <color rgb="ffff0000"/>
      </font>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44546a"/>
      <rgbColor rgb="ffe1f4ff"/>
      <rgbColor rgb="ffecffcc"/>
      <rgbColor rgb="ff71b8ff"/>
      <rgbColor rgb="ffff0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3.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35</v>
      </c>
      <c r="C11" s="3"/>
      <c r="D11" s="3"/>
    </row>
    <row r="12">
      <c r="B12" s="4"/>
      <c r="C12" t="s" s="4">
        <v>5</v>
      </c>
      <c r="D12" t="s" s="5">
        <v>35</v>
      </c>
    </row>
    <row r="13">
      <c r="B13" t="s" s="3">
        <v>45</v>
      </c>
      <c r="C13" s="3"/>
      <c r="D13" s="3"/>
    </row>
    <row r="14">
      <c r="B14" s="4"/>
      <c r="C14" t="s" s="4">
        <v>5</v>
      </c>
      <c r="D14" t="s" s="5">
        <v>45</v>
      </c>
    </row>
  </sheetData>
  <mergeCells count="1">
    <mergeCell ref="B3:D3"/>
  </mergeCells>
  <hyperlinks>
    <hyperlink ref="D10" location="'Feuille1'!R1C1" tooltip="" display="Feuille1"/>
    <hyperlink ref="D12" location="'Reference Table'!R1C1" tooltip="" display="Reference Table"/>
    <hyperlink ref="D14" location="'Solution'!R1C1" tooltip="" display="Solution"/>
  </hyperlinks>
</worksheet>
</file>

<file path=xl/worksheets/sheet2.xml><?xml version="1.0" encoding="utf-8"?>
<worksheet xmlns:r="http://schemas.openxmlformats.org/officeDocument/2006/relationships" xmlns="http://schemas.openxmlformats.org/spreadsheetml/2006/main">
  <dimension ref="A1:O28"/>
  <sheetViews>
    <sheetView workbookViewId="0" showGridLines="0" defaultGridColor="1"/>
  </sheetViews>
  <sheetFormatPr defaultColWidth="8.83333" defaultRowHeight="20.1" customHeight="1" outlineLevelRow="0" outlineLevelCol="0"/>
  <cols>
    <col min="1" max="1" width="3.67188" style="6" customWidth="1"/>
    <col min="2" max="2" width="16.1719" style="6" customWidth="1"/>
    <col min="3" max="3" width="17.6719" style="6" customWidth="1"/>
    <col min="4" max="4" width="17.5" style="6" customWidth="1"/>
    <col min="5" max="5" width="15.3516" style="6" customWidth="1"/>
    <col min="6" max="6" width="18.6719" style="6" customWidth="1"/>
    <col min="7" max="7" width="12.6719" style="6" customWidth="1"/>
    <col min="8" max="8" width="12.3516" style="6" customWidth="1"/>
    <col min="9" max="9" width="40.5" style="6" customWidth="1"/>
    <col min="10" max="10" width="15" style="6" customWidth="1"/>
    <col min="11" max="14" width="9.17188" style="6" customWidth="1"/>
    <col min="15" max="15" width="13.6719" style="6" customWidth="1"/>
    <col min="16" max="16384" width="8.85156" style="6" customWidth="1"/>
  </cols>
  <sheetData>
    <row r="1" ht="20.1" customHeight="1">
      <c r="A1" s="7"/>
      <c r="B1" s="8"/>
      <c r="C1" s="8"/>
      <c r="D1" s="8"/>
      <c r="E1" s="8"/>
      <c r="F1" s="8"/>
      <c r="G1" s="8"/>
      <c r="H1" s="8"/>
      <c r="I1" s="8"/>
      <c r="J1" s="8"/>
      <c r="K1" s="8"/>
      <c r="L1" s="8"/>
      <c r="M1" s="8"/>
      <c r="N1" s="8"/>
      <c r="O1" s="9"/>
    </row>
    <row r="2" ht="20.1" customHeight="1">
      <c r="A2" s="10"/>
      <c r="B2" t="s" s="11">
        <v>6</v>
      </c>
      <c r="C2" s="12"/>
      <c r="D2" s="12"/>
      <c r="E2" s="12"/>
      <c r="F2" s="12"/>
      <c r="G2" s="12"/>
      <c r="H2" s="13"/>
      <c r="I2" s="14"/>
      <c r="J2" s="14"/>
      <c r="K2" s="14"/>
      <c r="L2" s="14"/>
      <c r="M2" s="14"/>
      <c r="N2" s="14"/>
      <c r="O2" s="15"/>
    </row>
    <row r="3" ht="20.1" customHeight="1">
      <c r="A3" s="10"/>
      <c r="B3" s="16"/>
      <c r="C3" s="16"/>
      <c r="D3" s="16"/>
      <c r="E3" s="16"/>
      <c r="F3" s="16"/>
      <c r="G3" s="16"/>
      <c r="H3" s="14"/>
      <c r="I3" s="14"/>
      <c r="J3" s="14"/>
      <c r="K3" s="14"/>
      <c r="L3" s="14"/>
      <c r="M3" s="14"/>
      <c r="N3" s="14"/>
      <c r="O3" s="15"/>
    </row>
    <row r="4" ht="20.1" customHeight="1">
      <c r="A4" s="17"/>
      <c r="B4" t="s" s="18">
        <v>7</v>
      </c>
      <c r="C4" t="s" s="18">
        <v>8</v>
      </c>
      <c r="D4" t="s" s="18">
        <v>9</v>
      </c>
      <c r="E4" t="s" s="18">
        <v>10</v>
      </c>
      <c r="F4" t="s" s="18">
        <v>11</v>
      </c>
      <c r="G4" t="s" s="18">
        <v>12</v>
      </c>
      <c r="H4" s="19"/>
      <c r="I4" s="14"/>
      <c r="J4" s="14"/>
      <c r="K4" s="14"/>
      <c r="L4" s="14"/>
      <c r="M4" s="14"/>
      <c r="N4" s="14"/>
      <c r="O4" s="15"/>
    </row>
    <row r="5" ht="20.1" customHeight="1">
      <c r="A5" s="17"/>
      <c r="B5" t="s" s="20">
        <v>13</v>
      </c>
      <c r="C5" s="21">
        <v>44561</v>
      </c>
      <c r="D5" s="22"/>
      <c r="E5" s="22"/>
      <c r="F5" s="23"/>
      <c r="G5" s="22"/>
      <c r="H5" s="19"/>
      <c r="I5" s="14"/>
      <c r="J5" s="14"/>
      <c r="K5" s="14"/>
      <c r="L5" s="14"/>
      <c r="M5" s="14"/>
      <c r="N5" s="14"/>
      <c r="O5" s="15"/>
    </row>
    <row r="6" ht="20.1" customHeight="1">
      <c r="A6" s="17"/>
      <c r="B6" t="s" s="20">
        <v>14</v>
      </c>
      <c r="C6" s="21">
        <v>44561</v>
      </c>
      <c r="D6" s="22"/>
      <c r="E6" s="22"/>
      <c r="F6" s="23"/>
      <c r="G6" s="22"/>
      <c r="H6" s="19"/>
      <c r="I6" s="14"/>
      <c r="J6" s="14"/>
      <c r="K6" s="24"/>
      <c r="L6" s="14"/>
      <c r="M6" s="14"/>
      <c r="N6" s="14"/>
      <c r="O6" s="15"/>
    </row>
    <row r="7" ht="20.1" customHeight="1">
      <c r="A7" s="17"/>
      <c r="B7" t="s" s="20">
        <v>15</v>
      </c>
      <c r="C7" s="21">
        <v>44575</v>
      </c>
      <c r="D7" s="22"/>
      <c r="E7" s="22"/>
      <c r="F7" s="23"/>
      <c r="G7" s="22"/>
      <c r="H7" s="25"/>
      <c r="I7" s="14"/>
      <c r="J7" s="14"/>
      <c r="K7" s="24"/>
      <c r="L7" s="14"/>
      <c r="M7" s="14"/>
      <c r="N7" s="14"/>
      <c r="O7" s="15"/>
    </row>
    <row r="8" ht="20.1" customHeight="1">
      <c r="A8" s="17"/>
      <c r="B8" t="s" s="20">
        <v>16</v>
      </c>
      <c r="C8" s="21">
        <v>44575</v>
      </c>
      <c r="D8" s="22"/>
      <c r="E8" s="22"/>
      <c r="F8" s="23"/>
      <c r="G8" s="22"/>
      <c r="H8" s="25"/>
      <c r="I8" s="14"/>
      <c r="J8" s="14"/>
      <c r="K8" s="24"/>
      <c r="L8" s="14"/>
      <c r="M8" s="14"/>
      <c r="N8" s="14"/>
      <c r="O8" s="15"/>
    </row>
    <row r="9" ht="20.1" customHeight="1">
      <c r="A9" s="17"/>
      <c r="B9" t="s" s="20">
        <v>17</v>
      </c>
      <c r="C9" s="21">
        <v>44593</v>
      </c>
      <c r="D9" s="22"/>
      <c r="E9" s="22"/>
      <c r="F9" s="23"/>
      <c r="G9" s="22"/>
      <c r="H9" s="25"/>
      <c r="I9" s="14"/>
      <c r="J9" s="14"/>
      <c r="K9" s="24"/>
      <c r="L9" s="14"/>
      <c r="M9" s="14"/>
      <c r="N9" s="14"/>
      <c r="O9" s="15"/>
    </row>
    <row r="10" ht="20.1" customHeight="1">
      <c r="A10" s="17"/>
      <c r="B10" t="s" s="20">
        <v>18</v>
      </c>
      <c r="C10" s="21">
        <v>44593</v>
      </c>
      <c r="D10" s="22"/>
      <c r="E10" s="22"/>
      <c r="F10" s="23"/>
      <c r="G10" s="22"/>
      <c r="H10" s="19"/>
      <c r="I10" s="14"/>
      <c r="J10" s="14"/>
      <c r="K10" s="24"/>
      <c r="L10" s="14"/>
      <c r="M10" s="14"/>
      <c r="N10" s="14"/>
      <c r="O10" s="15"/>
    </row>
    <row r="11" ht="20.1" customHeight="1">
      <c r="A11" s="17"/>
      <c r="B11" t="s" s="20">
        <v>19</v>
      </c>
      <c r="C11" s="21">
        <v>44777</v>
      </c>
      <c r="D11" s="22"/>
      <c r="E11" s="22"/>
      <c r="F11" s="23"/>
      <c r="G11" s="22"/>
      <c r="H11" s="19"/>
      <c r="I11" s="14"/>
      <c r="J11" s="14"/>
      <c r="K11" s="24"/>
      <c r="L11" s="14"/>
      <c r="M11" s="14"/>
      <c r="N11" s="14"/>
      <c r="O11" s="15"/>
    </row>
    <row r="12" ht="20.1" customHeight="1">
      <c r="A12" s="17"/>
      <c r="B12" t="s" s="20">
        <v>20</v>
      </c>
      <c r="C12" s="21">
        <v>44777</v>
      </c>
      <c r="D12" s="22"/>
      <c r="E12" s="22"/>
      <c r="F12" s="23"/>
      <c r="G12" s="22"/>
      <c r="H12" s="19"/>
      <c r="I12" s="14"/>
      <c r="J12" s="14"/>
      <c r="K12" s="14"/>
      <c r="L12" s="14"/>
      <c r="M12" s="14"/>
      <c r="N12" s="14"/>
      <c r="O12" s="15"/>
    </row>
    <row r="13" ht="20.1" customHeight="1">
      <c r="A13" s="17"/>
      <c r="B13" t="s" s="20">
        <v>21</v>
      </c>
      <c r="C13" s="21">
        <v>44621</v>
      </c>
      <c r="D13" s="22"/>
      <c r="E13" s="22"/>
      <c r="F13" s="23"/>
      <c r="G13" s="22"/>
      <c r="H13" s="19"/>
      <c r="I13" s="14"/>
      <c r="J13" s="14"/>
      <c r="K13" s="14"/>
      <c r="L13" s="14"/>
      <c r="M13" s="14"/>
      <c r="N13" s="14"/>
      <c r="O13" s="15"/>
    </row>
    <row r="14" ht="20.1" customHeight="1">
      <c r="A14" s="17"/>
      <c r="B14" t="s" s="20">
        <v>22</v>
      </c>
      <c r="C14" s="21">
        <v>44621</v>
      </c>
      <c r="D14" s="22"/>
      <c r="E14" s="22"/>
      <c r="F14" s="23"/>
      <c r="G14" s="22"/>
      <c r="H14" s="19"/>
      <c r="I14" s="14"/>
      <c r="J14" s="14"/>
      <c r="K14" s="14"/>
      <c r="L14" s="14"/>
      <c r="M14" s="14"/>
      <c r="N14" s="14"/>
      <c r="O14" s="15"/>
    </row>
    <row r="15" ht="20.1" customHeight="1">
      <c r="A15" s="17"/>
      <c r="B15" t="s" s="20">
        <v>23</v>
      </c>
      <c r="C15" s="21">
        <v>44621</v>
      </c>
      <c r="D15" s="22"/>
      <c r="E15" s="22"/>
      <c r="F15" s="23"/>
      <c r="G15" s="22"/>
      <c r="H15" s="19"/>
      <c r="I15" s="14"/>
      <c r="J15" s="14"/>
      <c r="K15" s="14"/>
      <c r="L15" s="14"/>
      <c r="M15" s="14"/>
      <c r="N15" s="14"/>
      <c r="O15" s="15"/>
    </row>
    <row r="16" ht="20.1" customHeight="1">
      <c r="A16" s="17"/>
      <c r="B16" t="s" s="20">
        <v>24</v>
      </c>
      <c r="C16" s="21">
        <v>44621</v>
      </c>
      <c r="D16" s="22"/>
      <c r="E16" s="22"/>
      <c r="F16" s="23"/>
      <c r="G16" s="22"/>
      <c r="H16" s="19"/>
      <c r="I16" s="14"/>
      <c r="J16" s="14"/>
      <c r="K16" s="14"/>
      <c r="L16" s="14"/>
      <c r="M16" s="14"/>
      <c r="N16" s="14"/>
      <c r="O16" s="15"/>
    </row>
    <row r="17" ht="20.1" customHeight="1">
      <c r="A17" s="17"/>
      <c r="B17" t="s" s="20">
        <v>25</v>
      </c>
      <c r="C17" s="21">
        <v>44635</v>
      </c>
      <c r="D17" s="22"/>
      <c r="E17" s="22"/>
      <c r="F17" s="23"/>
      <c r="G17" s="22"/>
      <c r="H17" s="19"/>
      <c r="I17" s="14"/>
      <c r="J17" s="14"/>
      <c r="K17" s="14"/>
      <c r="L17" s="14"/>
      <c r="M17" s="14"/>
      <c r="N17" s="14"/>
      <c r="O17" s="15"/>
    </row>
    <row r="18" ht="20.1" customHeight="1">
      <c r="A18" s="17"/>
      <c r="B18" t="s" s="20">
        <v>26</v>
      </c>
      <c r="C18" s="21">
        <v>44635</v>
      </c>
      <c r="D18" s="22"/>
      <c r="E18" s="22"/>
      <c r="F18" s="23"/>
      <c r="G18" s="22"/>
      <c r="H18" s="19"/>
      <c r="I18" s="14"/>
      <c r="J18" s="14"/>
      <c r="K18" s="14"/>
      <c r="L18" s="14"/>
      <c r="M18" s="14"/>
      <c r="N18" s="14"/>
      <c r="O18" s="15"/>
    </row>
    <row r="19" ht="20.1" customHeight="1">
      <c r="A19" s="17"/>
      <c r="B19" t="s" s="20">
        <v>27</v>
      </c>
      <c r="C19" s="21">
        <v>44652</v>
      </c>
      <c r="D19" s="22"/>
      <c r="E19" s="22"/>
      <c r="F19" s="23"/>
      <c r="G19" s="22"/>
      <c r="H19" s="19"/>
      <c r="I19" s="14"/>
      <c r="J19" s="14"/>
      <c r="K19" s="14"/>
      <c r="L19" s="14"/>
      <c r="M19" s="14"/>
      <c r="N19" s="14"/>
      <c r="O19" s="15"/>
    </row>
    <row r="20" ht="20.1" customHeight="1">
      <c r="A20" s="17"/>
      <c r="B20" t="s" s="20">
        <v>28</v>
      </c>
      <c r="C20" s="21">
        <v>44652</v>
      </c>
      <c r="D20" s="22"/>
      <c r="E20" s="22"/>
      <c r="F20" s="23"/>
      <c r="G20" s="22"/>
      <c r="H20" s="19"/>
      <c r="I20" s="14"/>
      <c r="J20" s="14"/>
      <c r="K20" s="14"/>
      <c r="L20" s="14"/>
      <c r="M20" s="14"/>
      <c r="N20" s="14"/>
      <c r="O20" s="15"/>
    </row>
    <row r="21" ht="20.1" customHeight="1">
      <c r="A21" s="17"/>
      <c r="B21" t="s" s="20">
        <v>29</v>
      </c>
      <c r="C21" s="21">
        <v>44668</v>
      </c>
      <c r="D21" s="22"/>
      <c r="E21" s="22"/>
      <c r="F21" s="23"/>
      <c r="G21" s="22"/>
      <c r="H21" s="19"/>
      <c r="I21" s="14"/>
      <c r="J21" s="14"/>
      <c r="K21" s="14"/>
      <c r="L21" s="14"/>
      <c r="M21" s="14"/>
      <c r="N21" s="14"/>
      <c r="O21" s="15"/>
    </row>
    <row r="22" ht="20.1" customHeight="1">
      <c r="A22" s="17"/>
      <c r="B22" t="s" s="20">
        <v>30</v>
      </c>
      <c r="C22" s="21">
        <v>44713</v>
      </c>
      <c r="D22" s="22"/>
      <c r="E22" s="22"/>
      <c r="F22" s="23"/>
      <c r="G22" s="22"/>
      <c r="H22" s="19"/>
      <c r="I22" s="14"/>
      <c r="J22" s="14"/>
      <c r="K22" s="14"/>
      <c r="L22" s="14"/>
      <c r="M22" s="14"/>
      <c r="N22" s="14"/>
      <c r="O22" s="15"/>
    </row>
    <row r="23" ht="20.1" customHeight="1">
      <c r="A23" s="17"/>
      <c r="B23" t="s" s="20">
        <v>31</v>
      </c>
      <c r="C23" s="21">
        <v>44744</v>
      </c>
      <c r="D23" s="22"/>
      <c r="E23" s="22"/>
      <c r="F23" s="23"/>
      <c r="G23" s="22"/>
      <c r="H23" s="19"/>
      <c r="I23" s="14"/>
      <c r="J23" s="14"/>
      <c r="K23" s="14"/>
      <c r="L23" s="14"/>
      <c r="M23" s="14"/>
      <c r="N23" s="14"/>
      <c r="O23" s="15"/>
    </row>
    <row r="24" ht="20.1" customHeight="1">
      <c r="A24" s="17"/>
      <c r="B24" t="s" s="20">
        <v>32</v>
      </c>
      <c r="C24" s="21">
        <v>44757</v>
      </c>
      <c r="D24" s="22"/>
      <c r="E24" s="22"/>
      <c r="F24" s="23"/>
      <c r="G24" s="22"/>
      <c r="H24" s="19"/>
      <c r="I24" s="14"/>
      <c r="J24" s="14"/>
      <c r="K24" s="14"/>
      <c r="L24" s="14"/>
      <c r="M24" s="14"/>
      <c r="N24" s="14"/>
      <c r="O24" s="15"/>
    </row>
    <row r="25" ht="20.1" customHeight="1">
      <c r="A25" s="17"/>
      <c r="B25" t="s" s="20">
        <v>33</v>
      </c>
      <c r="C25" s="21">
        <v>44564</v>
      </c>
      <c r="D25" s="22"/>
      <c r="E25" s="22"/>
      <c r="F25" s="23"/>
      <c r="G25" s="22"/>
      <c r="H25" s="19"/>
      <c r="I25" s="14"/>
      <c r="J25" s="14"/>
      <c r="K25" s="14"/>
      <c r="L25" s="14"/>
      <c r="M25" s="14"/>
      <c r="N25" s="14"/>
      <c r="O25" s="15"/>
    </row>
    <row r="26" ht="20.1" customHeight="1">
      <c r="A26" s="10"/>
      <c r="B26" s="26"/>
      <c r="C26" s="27"/>
      <c r="D26" s="27"/>
      <c r="E26" s="27"/>
      <c r="F26" s="27"/>
      <c r="G26" s="27"/>
      <c r="H26" s="14"/>
      <c r="I26" s="14"/>
      <c r="J26" s="14"/>
      <c r="K26" s="14"/>
      <c r="L26" s="14"/>
      <c r="M26" s="14"/>
      <c r="N26" s="14"/>
      <c r="O26" s="15"/>
    </row>
    <row r="27" ht="20.1" customHeight="1">
      <c r="A27" s="17"/>
      <c r="B27" t="s" s="28">
        <v>34</v>
      </c>
      <c r="C27" s="19"/>
      <c r="D27" s="14"/>
      <c r="E27" s="14"/>
      <c r="F27" s="14"/>
      <c r="G27" s="14"/>
      <c r="H27" s="14"/>
      <c r="I27" s="14"/>
      <c r="J27" s="14"/>
      <c r="K27" s="14"/>
      <c r="L27" s="14"/>
      <c r="M27" s="14"/>
      <c r="N27" s="14"/>
      <c r="O27" s="15"/>
    </row>
    <row r="28" ht="20.1" customHeight="1">
      <c r="A28" s="29"/>
      <c r="B28" s="21">
        <v>44802</v>
      </c>
      <c r="C28" s="30"/>
      <c r="D28" s="31"/>
      <c r="E28" s="31"/>
      <c r="F28" s="31"/>
      <c r="G28" s="31"/>
      <c r="H28" s="31"/>
      <c r="I28" s="31"/>
      <c r="J28" s="31"/>
      <c r="K28" s="31"/>
      <c r="L28" s="31"/>
      <c r="M28" s="31"/>
      <c r="N28" s="31"/>
      <c r="O28" s="32"/>
    </row>
  </sheetData>
  <mergeCells count="1">
    <mergeCell ref="B2:G2"/>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H11"/>
  <sheetViews>
    <sheetView workbookViewId="0" showGridLines="0" defaultGridColor="1"/>
  </sheetViews>
  <sheetFormatPr defaultColWidth="8.83333" defaultRowHeight="20.1" customHeight="1" outlineLevelRow="0" outlineLevelCol="0"/>
  <cols>
    <col min="1" max="1" width="3.67188" style="33" customWidth="1"/>
    <col min="2" max="2" width="28.3516" style="33" customWidth="1"/>
    <col min="3" max="3" width="18.8516" style="33" customWidth="1"/>
    <col min="4" max="4" width="50.6719" style="33" customWidth="1"/>
    <col min="5" max="5" width="12.3516" style="33" customWidth="1"/>
    <col min="6" max="6" width="40.5" style="33" customWidth="1"/>
    <col min="7" max="7" width="15" style="33" customWidth="1"/>
    <col min="8" max="8" width="9.17188" style="33" customWidth="1"/>
    <col min="9" max="16384" width="8.85156" style="33" customWidth="1"/>
  </cols>
  <sheetData>
    <row r="1" ht="13.55" customHeight="1">
      <c r="A1" s="7"/>
      <c r="B1" s="8"/>
      <c r="C1" s="8"/>
      <c r="D1" s="8"/>
      <c r="E1" s="8"/>
      <c r="F1" s="8"/>
      <c r="G1" s="8"/>
      <c r="H1" s="9"/>
    </row>
    <row r="2" ht="20.1" customHeight="1">
      <c r="A2" s="10"/>
      <c r="B2" t="s" s="34">
        <v>36</v>
      </c>
      <c r="C2" s="35"/>
      <c r="D2" s="13"/>
      <c r="E2" s="13"/>
      <c r="F2" s="14"/>
      <c r="G2" s="14"/>
      <c r="H2" s="15"/>
    </row>
    <row r="3" ht="20.1" customHeight="1">
      <c r="A3" s="10"/>
      <c r="B3" s="36"/>
      <c r="C3" s="36"/>
      <c r="D3" s="14"/>
      <c r="E3" s="14"/>
      <c r="F3" s="14"/>
      <c r="G3" s="14"/>
      <c r="H3" s="15"/>
    </row>
    <row r="4" ht="20.1" customHeight="1">
      <c r="A4" s="17"/>
      <c r="B4" t="s" s="18">
        <v>10</v>
      </c>
      <c r="C4" t="s" s="18">
        <v>37</v>
      </c>
      <c r="D4" s="19"/>
      <c r="E4" s="14"/>
      <c r="F4" s="14"/>
      <c r="G4" s="14"/>
      <c r="H4" s="15"/>
    </row>
    <row r="5" ht="20.1" customHeight="1">
      <c r="A5" s="17"/>
      <c r="B5" t="s" s="20">
        <v>38</v>
      </c>
      <c r="C5" s="37">
        <v>5830</v>
      </c>
      <c r="D5" s="19"/>
      <c r="E5" s="14"/>
      <c r="F5" s="14"/>
      <c r="G5" s="14"/>
      <c r="H5" s="15"/>
    </row>
    <row r="6" ht="20.1" customHeight="1">
      <c r="A6" s="17"/>
      <c r="B6" t="s" s="20">
        <v>39</v>
      </c>
      <c r="C6" s="37">
        <v>3450</v>
      </c>
      <c r="D6" s="19"/>
      <c r="E6" s="14"/>
      <c r="F6" s="14"/>
      <c r="G6" s="14"/>
      <c r="H6" s="38"/>
    </row>
    <row r="7" ht="20.1" customHeight="1">
      <c r="A7" s="17"/>
      <c r="B7" t="s" s="20">
        <v>40</v>
      </c>
      <c r="C7" s="37">
        <v>4920</v>
      </c>
      <c r="D7" s="25"/>
      <c r="E7" s="13"/>
      <c r="F7" s="14"/>
      <c r="G7" s="14"/>
      <c r="H7" s="38"/>
    </row>
    <row r="8" ht="20.1" customHeight="1">
      <c r="A8" s="17"/>
      <c r="B8" t="s" s="20">
        <v>41</v>
      </c>
      <c r="C8" s="37">
        <v>2785</v>
      </c>
      <c r="D8" s="25"/>
      <c r="E8" s="13"/>
      <c r="F8" s="14"/>
      <c r="G8" s="14"/>
      <c r="H8" s="38"/>
    </row>
    <row r="9" ht="20.1" customHeight="1">
      <c r="A9" s="17"/>
      <c r="B9" t="s" s="20">
        <v>42</v>
      </c>
      <c r="C9" s="37">
        <v>3125</v>
      </c>
      <c r="D9" s="25"/>
      <c r="E9" s="13"/>
      <c r="F9" s="14"/>
      <c r="G9" s="14"/>
      <c r="H9" s="38"/>
    </row>
    <row r="10" ht="20.1" customHeight="1">
      <c r="A10" s="17"/>
      <c r="B10" t="s" s="20">
        <v>43</v>
      </c>
      <c r="C10" s="37">
        <v>2500</v>
      </c>
      <c r="D10" s="19"/>
      <c r="E10" s="14"/>
      <c r="F10" s="14"/>
      <c r="G10" s="14"/>
      <c r="H10" s="38"/>
    </row>
    <row r="11" ht="20.1" customHeight="1">
      <c r="A11" s="29"/>
      <c r="B11" t="s" s="20">
        <v>44</v>
      </c>
      <c r="C11" s="37">
        <v>3100</v>
      </c>
      <c r="D11" s="30"/>
      <c r="E11" s="31"/>
      <c r="F11" s="31"/>
      <c r="G11" s="31"/>
      <c r="H11" s="39"/>
    </row>
  </sheetData>
  <mergeCells count="1">
    <mergeCell ref="B2:C2"/>
  </mergeCells>
  <conditionalFormatting sqref="C5:C11">
    <cfRule type="cellIs" dxfId="0" priority="1" operator="lessThan" stopIfTrue="1">
      <formula>0</formula>
    </cfRule>
  </conditionalFormatting>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4.xml><?xml version="1.0" encoding="utf-8"?>
<worksheet xmlns:r="http://schemas.openxmlformats.org/officeDocument/2006/relationships" xmlns="http://schemas.openxmlformats.org/spreadsheetml/2006/main">
  <dimension ref="A1:K28"/>
  <sheetViews>
    <sheetView workbookViewId="0" showGridLines="0" defaultGridColor="1"/>
  </sheetViews>
  <sheetFormatPr defaultColWidth="8.83333" defaultRowHeight="20.1" customHeight="1" outlineLevelRow="0" outlineLevelCol="0"/>
  <cols>
    <col min="1" max="1" width="3.67188" style="40" customWidth="1"/>
    <col min="2" max="2" width="16.1719" style="40" customWidth="1"/>
    <col min="3" max="3" width="18.8516" style="40" customWidth="1"/>
    <col min="4" max="4" width="27.3516" style="40" customWidth="1"/>
    <col min="5" max="5" width="25.5" style="40" customWidth="1"/>
    <col min="6" max="6" width="21.6719" style="40" customWidth="1"/>
    <col min="7" max="7" width="25.8516" style="40" customWidth="1"/>
    <col min="8" max="8" width="12.3516" style="40" customWidth="1"/>
    <col min="9" max="9" width="40.5" style="40" customWidth="1"/>
    <col min="10" max="10" width="15" style="40" customWidth="1"/>
    <col min="11" max="11" width="9.17188" style="40" customWidth="1"/>
    <col min="12" max="16384" width="8.85156" style="40" customWidth="1"/>
  </cols>
  <sheetData>
    <row r="1" ht="13.55" customHeight="1">
      <c r="A1" s="7"/>
      <c r="B1" s="8"/>
      <c r="C1" s="8"/>
      <c r="D1" s="8"/>
      <c r="E1" s="8"/>
      <c r="F1" s="8"/>
      <c r="G1" s="8"/>
      <c r="H1" s="8"/>
      <c r="I1" s="8"/>
      <c r="J1" s="8"/>
      <c r="K1" s="9"/>
    </row>
    <row r="2" ht="20.1" customHeight="1">
      <c r="A2" s="10"/>
      <c r="B2" t="s" s="11">
        <v>6</v>
      </c>
      <c r="C2" s="12"/>
      <c r="D2" s="12"/>
      <c r="E2" s="12"/>
      <c r="F2" s="12"/>
      <c r="G2" s="12"/>
      <c r="H2" s="13"/>
      <c r="I2" s="14"/>
      <c r="J2" s="14"/>
      <c r="K2" s="15"/>
    </row>
    <row r="3" ht="13.55" customHeight="1">
      <c r="A3" s="10"/>
      <c r="B3" s="16"/>
      <c r="C3" s="16"/>
      <c r="D3" s="16"/>
      <c r="E3" s="16"/>
      <c r="F3" s="16"/>
      <c r="G3" s="16"/>
      <c r="H3" s="14"/>
      <c r="I3" s="14"/>
      <c r="J3" s="14"/>
      <c r="K3" s="15"/>
    </row>
    <row r="4" ht="20.1" customHeight="1">
      <c r="A4" s="17"/>
      <c r="B4" t="s" s="18">
        <v>7</v>
      </c>
      <c r="C4" t="s" s="18">
        <v>8</v>
      </c>
      <c r="D4" t="s" s="18">
        <v>9</v>
      </c>
      <c r="E4" t="s" s="18">
        <v>10</v>
      </c>
      <c r="F4" t="s" s="18">
        <v>11</v>
      </c>
      <c r="G4" t="s" s="18">
        <v>12</v>
      </c>
      <c r="H4" s="19"/>
      <c r="I4" s="14"/>
      <c r="J4" s="14"/>
      <c r="K4" s="15"/>
    </row>
    <row r="5" ht="20.1" customHeight="1">
      <c r="A5" s="17"/>
      <c r="B5" t="s" s="20">
        <v>13</v>
      </c>
      <c r="C5" s="21">
        <v>44561</v>
      </c>
      <c r="D5" t="str" s="22" cm="1">
        <f t="array" ref="D5">B5&amp;"@demomail.com"</f>
        <v>Mark@demomail.com</v>
      </c>
      <c r="E5" t="s" s="20">
        <v>38</v>
      </c>
      <c r="F5" s="23" cm="1">
        <f t="array" ref="F5">VLOOKUP(E5,'Reference Table'!$B$5:$C$11,2,0)</f>
        <v>5830</v>
      </c>
      <c r="G5" t="str" s="22" cm="1">
        <f t="array" ref="G5">IF($B$28-C5&gt;180,"Permanent","")</f>
        <v>Permanent</v>
      </c>
      <c r="H5" s="19"/>
      <c r="I5" s="14"/>
      <c r="J5" s="14"/>
      <c r="K5" s="15"/>
    </row>
    <row r="6" ht="20.1" customHeight="1">
      <c r="A6" s="17"/>
      <c r="B6" t="s" s="20">
        <v>14</v>
      </c>
      <c r="C6" s="21">
        <v>44561</v>
      </c>
      <c r="D6" t="str" s="22" cm="1">
        <f t="array" ref="D6">B6&amp;"@demomail.com"</f>
        <v>Brian@demomail.com</v>
      </c>
      <c r="E6" t="s" s="20">
        <v>39</v>
      </c>
      <c r="F6" s="23" cm="1">
        <f t="array" ref="F6">VLOOKUP(E6,'Reference Table'!$B$5:$C$11,2,0)</f>
        <v>3450</v>
      </c>
      <c r="G6" t="str" s="22" cm="1">
        <f t="array" ref="G6">IF($B$28-C6&gt;180,"Permanent","")</f>
        <v>Permanent</v>
      </c>
      <c r="H6" s="19"/>
      <c r="I6" s="14"/>
      <c r="J6" s="14"/>
      <c r="K6" s="38"/>
    </row>
    <row r="7" ht="20.1" customHeight="1">
      <c r="A7" s="17"/>
      <c r="B7" t="s" s="20">
        <v>15</v>
      </c>
      <c r="C7" s="21">
        <v>44575</v>
      </c>
      <c r="D7" t="str" s="22" cm="1">
        <f t="array" ref="D7">B7&amp;"@demomail.com"</f>
        <v>Alan@demomail.com</v>
      </c>
      <c r="E7" t="s" s="20">
        <v>40</v>
      </c>
      <c r="F7" s="23" cm="1">
        <f t="array" ref="F7">VLOOKUP(E7,'Reference Table'!$B$5:$C$11,2,0)</f>
        <v>4920</v>
      </c>
      <c r="G7" t="str" s="22" cm="1">
        <f t="array" ref="G7">IF($B$28-C7&gt;180,"Permanent","")</f>
        <v>Permanent</v>
      </c>
      <c r="H7" s="25"/>
      <c r="I7" s="14"/>
      <c r="J7" s="14"/>
      <c r="K7" s="38"/>
    </row>
    <row r="8" ht="20.1" customHeight="1">
      <c r="A8" s="17"/>
      <c r="B8" t="s" s="20">
        <v>16</v>
      </c>
      <c r="C8" s="21">
        <v>44575</v>
      </c>
      <c r="D8" t="str" s="22" cm="1">
        <f t="array" ref="D8">B8&amp;"@demomail.com"</f>
        <v>Tony@demomail.com</v>
      </c>
      <c r="E8" t="s" s="20">
        <v>41</v>
      </c>
      <c r="F8" s="23" cm="1">
        <f t="array" ref="F8">VLOOKUP(E8,'Reference Table'!$B$5:$C$11,2,0)</f>
        <v>2785</v>
      </c>
      <c r="G8" t="str" s="22" cm="1">
        <f t="array" ref="G8">IF($B$28-C8&gt;180,"Permanent","")</f>
        <v>Permanent</v>
      </c>
      <c r="H8" s="25"/>
      <c r="I8" s="14"/>
      <c r="J8" s="14"/>
      <c r="K8" s="38"/>
    </row>
    <row r="9" ht="20.1" customHeight="1">
      <c r="A9" s="17"/>
      <c r="B9" t="s" s="20">
        <v>17</v>
      </c>
      <c r="C9" s="21">
        <v>44593</v>
      </c>
      <c r="D9" t="str" s="22" cm="1">
        <f t="array" ref="D9">B9&amp;"@demomail.com"</f>
        <v>Agatha@demomail.com</v>
      </c>
      <c r="E9" t="s" s="20">
        <v>39</v>
      </c>
      <c r="F9" s="23" cm="1">
        <f t="array" ref="F9">VLOOKUP(E9,'Reference Table'!$B$5:$C$11,2,0)</f>
        <v>3450</v>
      </c>
      <c r="G9" t="str" s="22" cm="1">
        <f t="array" ref="G9">IF($B$28-C9&gt;180,"Permanent","")</f>
        <v>Permanent</v>
      </c>
      <c r="H9" s="25"/>
      <c r="I9" s="14"/>
      <c r="J9" s="14"/>
      <c r="K9" s="38"/>
    </row>
    <row r="10" ht="20.1" customHeight="1">
      <c r="A10" s="17"/>
      <c r="B10" t="s" s="20">
        <v>18</v>
      </c>
      <c r="C10" s="21">
        <v>44593</v>
      </c>
      <c r="D10" t="str" s="22" cm="1">
        <f t="array" ref="D10">B10&amp;"@demomail.com"</f>
        <v>Lana@demomail.com</v>
      </c>
      <c r="E10" t="s" s="20">
        <v>42</v>
      </c>
      <c r="F10" s="23" cm="1">
        <f t="array" ref="F10">VLOOKUP(E10,'Reference Table'!$B$5:$C$11,2,0)</f>
        <v>3125</v>
      </c>
      <c r="G10" t="str" s="22" cm="1">
        <f t="array" ref="G10">IF($B$28-C10&gt;180,"Permanent","")</f>
        <v>Permanent</v>
      </c>
      <c r="H10" s="19"/>
      <c r="I10" s="14"/>
      <c r="J10" s="14"/>
      <c r="K10" s="38"/>
    </row>
    <row r="11" ht="20.1" customHeight="1">
      <c r="A11" s="17"/>
      <c r="B11" t="s" s="20">
        <v>19</v>
      </c>
      <c r="C11" s="21">
        <v>44777</v>
      </c>
      <c r="D11" t="str" s="22" cm="1">
        <f t="array" ref="D11">B11&amp;"@demomail.com"</f>
        <v>Heather@demomail.com</v>
      </c>
      <c r="E11" t="s" s="20">
        <v>42</v>
      </c>
      <c r="F11" s="23" cm="1">
        <f t="array" ref="F11">VLOOKUP(E11,'Reference Table'!$B$5:$C$11,2,0)</f>
        <v>3125</v>
      </c>
      <c r="G11" t="str" s="22" cm="1">
        <f t="array" ref="G11">IF($B$28-C11&gt;180,"Permanent","")</f>
      </c>
      <c r="H11" s="19"/>
      <c r="I11" s="14"/>
      <c r="J11" s="14"/>
      <c r="K11" s="38"/>
    </row>
    <row r="12" ht="20.1" customHeight="1">
      <c r="A12" s="17"/>
      <c r="B12" t="s" s="20">
        <v>20</v>
      </c>
      <c r="C12" s="21">
        <v>44777</v>
      </c>
      <c r="D12" t="str" s="22" cm="1">
        <f t="array" ref="D12">B12&amp;"@demomail.com"</f>
        <v>Ben@demomail.com</v>
      </c>
      <c r="E12" t="s" s="20">
        <v>39</v>
      </c>
      <c r="F12" s="23" cm="1">
        <f t="array" ref="F12">VLOOKUP(E12,'Reference Table'!$B$5:$C$11,2,0)</f>
        <v>3450</v>
      </c>
      <c r="G12" t="str" s="22" cm="1">
        <f t="array" ref="G12">IF($B$28-C12&gt;180,"Permanent","")</f>
      </c>
      <c r="H12" s="19"/>
      <c r="I12" s="14"/>
      <c r="J12" s="14"/>
      <c r="K12" s="15"/>
    </row>
    <row r="13" ht="20.1" customHeight="1">
      <c r="A13" s="17"/>
      <c r="B13" t="s" s="20">
        <v>21</v>
      </c>
      <c r="C13" s="21">
        <v>44621</v>
      </c>
      <c r="D13" t="str" s="22" cm="1">
        <f t="array" ref="D13">B13&amp;"@demomail.com"</f>
        <v>Caitlyn@demomail.com</v>
      </c>
      <c r="E13" t="s" s="20">
        <v>41</v>
      </c>
      <c r="F13" s="23" cm="1">
        <f t="array" ref="F13">VLOOKUP(E13,'Reference Table'!$B$5:$C$11,2,0)</f>
        <v>2785</v>
      </c>
      <c r="G13" t="str" s="22" cm="1">
        <f t="array" ref="G13">IF($B$28-C13&gt;180,"Permanent","")</f>
        <v>Permanent</v>
      </c>
      <c r="H13" s="19"/>
      <c r="I13" s="14"/>
      <c r="J13" s="14"/>
      <c r="K13" s="15"/>
    </row>
    <row r="14" ht="20.1" customHeight="1">
      <c r="A14" s="17"/>
      <c r="B14" t="s" s="20">
        <v>22</v>
      </c>
      <c r="C14" s="21">
        <v>44621</v>
      </c>
      <c r="D14" t="str" s="22" cm="1">
        <f t="array" ref="D14">B14&amp;"@demomail.com"</f>
        <v>Gibbs@demomail.com</v>
      </c>
      <c r="E14" t="s" s="20">
        <v>41</v>
      </c>
      <c r="F14" s="23" cm="1">
        <f t="array" ref="F14">VLOOKUP(E14,'Reference Table'!$B$5:$C$11,2,0)</f>
        <v>2785</v>
      </c>
      <c r="G14" t="str" s="22" cm="1">
        <f t="array" ref="G14">IF($B$28-C14&gt;180,"Permanent","")</f>
        <v>Permanent</v>
      </c>
      <c r="H14" s="19"/>
      <c r="I14" s="14"/>
      <c r="J14" s="14"/>
      <c r="K14" s="15"/>
    </row>
    <row r="15" ht="20.1" customHeight="1">
      <c r="A15" s="17"/>
      <c r="B15" t="s" s="20">
        <v>23</v>
      </c>
      <c r="C15" s="21">
        <v>44621</v>
      </c>
      <c r="D15" t="str" s="22" cm="1">
        <f t="array" ref="D15">B15&amp;"@demomail.com"</f>
        <v>Anderson@demomail.com</v>
      </c>
      <c r="E15" t="s" s="20">
        <v>39</v>
      </c>
      <c r="F15" s="23" cm="1">
        <f t="array" ref="F15">VLOOKUP(E15,'Reference Table'!$B$5:$C$11,2,0)</f>
        <v>3450</v>
      </c>
      <c r="G15" t="str" s="22" cm="1">
        <f t="array" ref="G15">IF($B$28-C15&gt;180,"Permanent","")</f>
        <v>Permanent</v>
      </c>
      <c r="H15" s="19"/>
      <c r="I15" s="14"/>
      <c r="J15" s="14"/>
      <c r="K15" s="15"/>
    </row>
    <row r="16" ht="20.1" customHeight="1">
      <c r="A16" s="17"/>
      <c r="B16" t="s" s="20">
        <v>24</v>
      </c>
      <c r="C16" s="21">
        <v>44621</v>
      </c>
      <c r="D16" t="str" s="22" cm="1">
        <f t="array" ref="D16">B16&amp;"@demomail.com"</f>
        <v>Michael@demomail.com</v>
      </c>
      <c r="E16" t="s" s="20">
        <v>41</v>
      </c>
      <c r="F16" s="23" cm="1">
        <f t="array" ref="F16">VLOOKUP(E16,'Reference Table'!$B$5:$C$11,2,0)</f>
        <v>2785</v>
      </c>
      <c r="G16" t="str" s="22" cm="1">
        <f t="array" ref="G16">IF($B$28-C16&gt;180,"Permanent","")</f>
        <v>Permanent</v>
      </c>
      <c r="H16" s="19"/>
      <c r="I16" s="14"/>
      <c r="J16" s="14"/>
      <c r="K16" s="15"/>
    </row>
    <row r="17" ht="20.1" customHeight="1">
      <c r="A17" s="17"/>
      <c r="B17" t="s" s="20">
        <v>25</v>
      </c>
      <c r="C17" s="21">
        <v>44635</v>
      </c>
      <c r="D17" t="str" s="22" cm="1">
        <f t="array" ref="D17">B17&amp;"@demomail.com"</f>
        <v>David@demomail.com</v>
      </c>
      <c r="E17" t="s" s="20">
        <v>39</v>
      </c>
      <c r="F17" s="23" cm="1">
        <f t="array" ref="F17">VLOOKUP(E17,'Reference Table'!$B$5:$C$11,2,0)</f>
        <v>3450</v>
      </c>
      <c r="G17" t="str" s="22" cm="1">
        <f t="array" ref="G17">IF($B$28-C17&gt;180,"Permanent","")</f>
      </c>
      <c r="H17" s="19"/>
      <c r="I17" s="14"/>
      <c r="J17" s="14"/>
      <c r="K17" s="15"/>
    </row>
    <row r="18" ht="20.1" customHeight="1">
      <c r="A18" s="17"/>
      <c r="B18" t="s" s="20">
        <v>26</v>
      </c>
      <c r="C18" s="21">
        <v>44635</v>
      </c>
      <c r="D18" t="str" s="22" cm="1">
        <f t="array" ref="D18">B18&amp;"@demomail.com"</f>
        <v>Jacob@demomail.com</v>
      </c>
      <c r="E18" t="s" s="20">
        <v>43</v>
      </c>
      <c r="F18" s="23" cm="1">
        <f t="array" ref="F18">VLOOKUP(E18,'Reference Table'!$B$5:$C$11,2,0)</f>
        <v>2500</v>
      </c>
      <c r="G18" t="str" s="22" cm="1">
        <f t="array" ref="G18">IF($B$28-C18&gt;180,"Permanent","")</f>
      </c>
      <c r="H18" s="19"/>
      <c r="I18" s="14"/>
      <c r="J18" s="14"/>
      <c r="K18" s="15"/>
    </row>
    <row r="19" ht="20.1" customHeight="1">
      <c r="A19" s="17"/>
      <c r="B19" t="s" s="20">
        <v>27</v>
      </c>
      <c r="C19" s="21">
        <v>44652</v>
      </c>
      <c r="D19" t="str" s="22" cm="1">
        <f t="array" ref="D19">B19&amp;"@demomail.com"</f>
        <v>John@demomail.com</v>
      </c>
      <c r="E19" t="s" s="20">
        <v>44</v>
      </c>
      <c r="F19" s="23" cm="1">
        <f t="array" ref="F19">VLOOKUP(E19,'Reference Table'!$B$5:$C$11,2,0)</f>
        <v>3100</v>
      </c>
      <c r="G19" t="str" s="22" cm="1">
        <f t="array" ref="G19">IF($B$28-C19&gt;180,"Permanent","")</f>
      </c>
      <c r="H19" s="19"/>
      <c r="I19" s="14"/>
      <c r="J19" s="14"/>
      <c r="K19" s="15"/>
    </row>
    <row r="20" ht="20.1" customHeight="1">
      <c r="A20" s="17"/>
      <c r="B20" t="s" s="20">
        <v>28</v>
      </c>
      <c r="C20" s="21">
        <v>44652</v>
      </c>
      <c r="D20" t="str" s="22" cm="1">
        <f t="array" ref="D20">B20&amp;"@demomail.com"</f>
        <v>Leonardo@demomail.com</v>
      </c>
      <c r="E20" t="s" s="20">
        <v>44</v>
      </c>
      <c r="F20" s="23" cm="1">
        <f t="array" ref="F20">VLOOKUP(E20,'Reference Table'!$B$5:$C$11,2,0)</f>
        <v>3100</v>
      </c>
      <c r="G20" t="str" s="22" cm="1">
        <f t="array" ref="G20">IF($B$28-C20&gt;180,"Permanent","")</f>
      </c>
      <c r="H20" s="19"/>
      <c r="I20" s="14"/>
      <c r="J20" s="14"/>
      <c r="K20" s="15"/>
    </row>
    <row r="21" ht="20.1" customHeight="1">
      <c r="A21" s="17"/>
      <c r="B21" t="s" s="20">
        <v>29</v>
      </c>
      <c r="C21" s="21">
        <v>44668</v>
      </c>
      <c r="D21" t="str" s="22" cm="1">
        <f t="array" ref="D21">B21&amp;"@demomail.com"</f>
        <v>Matthew@demomail.com</v>
      </c>
      <c r="E21" t="s" s="20">
        <v>38</v>
      </c>
      <c r="F21" s="23" cm="1">
        <f t="array" ref="F21">VLOOKUP(E21,'Reference Table'!$B$5:$C$11,2,0)</f>
        <v>5830</v>
      </c>
      <c r="G21" t="str" s="22" cm="1">
        <f t="array" ref="G21">IF($B$28-C21&gt;180,"Permanent","")</f>
      </c>
      <c r="H21" s="19"/>
      <c r="I21" s="14"/>
      <c r="J21" s="14"/>
      <c r="K21" s="15"/>
    </row>
    <row r="22" ht="20.1" customHeight="1">
      <c r="A22" s="17"/>
      <c r="B22" t="s" s="20">
        <v>30</v>
      </c>
      <c r="C22" s="21">
        <v>44713</v>
      </c>
      <c r="D22" t="str" s="22" cm="1">
        <f t="array" ref="D22">B22&amp;"@demomail.com"</f>
        <v>Joana@demomail.com</v>
      </c>
      <c r="E22" t="s" s="20">
        <v>44</v>
      </c>
      <c r="F22" s="23" cm="1">
        <f t="array" ref="F22">VLOOKUP(E22,'Reference Table'!$B$5:$C$11,2,0)</f>
        <v>3100</v>
      </c>
      <c r="G22" t="str" s="22" cm="1">
        <f t="array" ref="G22">IF($B$28-C22&gt;180,"Permanent","")</f>
      </c>
      <c r="H22" s="19"/>
      <c r="I22" s="14"/>
      <c r="J22" s="14"/>
      <c r="K22" s="15"/>
    </row>
    <row r="23" ht="20.1" customHeight="1">
      <c r="A23" s="17"/>
      <c r="B23" t="s" s="20">
        <v>31</v>
      </c>
      <c r="C23" s="21">
        <v>44744</v>
      </c>
      <c r="D23" t="str" s="22" cm="1">
        <f t="array" ref="D23">B23&amp;"@demomail.com"</f>
        <v>Ross@demomail.com</v>
      </c>
      <c r="E23" t="s" s="20">
        <v>40</v>
      </c>
      <c r="F23" s="23" cm="1">
        <f t="array" ref="F23">VLOOKUP(E23,'Reference Table'!$B$5:$C$11,2,0)</f>
        <v>4920</v>
      </c>
      <c r="G23" t="str" s="22" cm="1">
        <f t="array" ref="G23">IF($B$28-C23&gt;180,"Permanent","")</f>
      </c>
      <c r="H23" s="19"/>
      <c r="I23" s="14"/>
      <c r="J23" s="14"/>
      <c r="K23" s="15"/>
    </row>
    <row r="24" ht="20.1" customHeight="1">
      <c r="A24" s="17"/>
      <c r="B24" t="s" s="20">
        <v>32</v>
      </c>
      <c r="C24" s="21">
        <v>44757</v>
      </c>
      <c r="D24" t="str" s="22" cm="1">
        <f t="array" ref="D24">B24&amp;"@demomail.com"</f>
        <v>Joey@demomail.com</v>
      </c>
      <c r="E24" t="s" s="20">
        <v>44</v>
      </c>
      <c r="F24" s="23" cm="1">
        <f t="array" ref="F24">VLOOKUP(E24,'Reference Table'!$B$5:$C$11,2,0)</f>
        <v>3100</v>
      </c>
      <c r="G24" t="str" s="22" cm="1">
        <f t="array" ref="G24">IF($B$28-C24&gt;180,"Permanent","")</f>
      </c>
      <c r="H24" s="19"/>
      <c r="I24" s="14"/>
      <c r="J24" s="14"/>
      <c r="K24" s="15"/>
    </row>
    <row r="25" ht="20.1" customHeight="1">
      <c r="A25" s="17"/>
      <c r="B25" t="s" s="20">
        <v>33</v>
      </c>
      <c r="C25" s="21">
        <v>44564</v>
      </c>
      <c r="D25" t="str" s="22" cm="1">
        <f t="array" ref="D25">B25&amp;"@demomail.com"</f>
        <v>Jack@demomail.com</v>
      </c>
      <c r="E25" t="s" s="20">
        <v>43</v>
      </c>
      <c r="F25" s="23" cm="1">
        <f t="array" ref="F25">VLOOKUP(E25,'Reference Table'!$B$5:$C$11,2,0)</f>
        <v>2500</v>
      </c>
      <c r="G25" t="str" s="22" cm="1">
        <f t="array" ref="G25">IF($B$28-C25&gt;180,"Permanent","")</f>
        <v>Permanent</v>
      </c>
      <c r="H25" s="19"/>
      <c r="I25" s="14"/>
      <c r="J25" s="14"/>
      <c r="K25" s="15"/>
    </row>
    <row r="26" ht="13.55" customHeight="1">
      <c r="A26" s="10"/>
      <c r="B26" s="26"/>
      <c r="C26" s="27"/>
      <c r="D26" s="27"/>
      <c r="E26" s="27"/>
      <c r="F26" s="27"/>
      <c r="G26" s="27"/>
      <c r="H26" s="14"/>
      <c r="I26" s="14"/>
      <c r="J26" s="14"/>
      <c r="K26" s="15"/>
    </row>
    <row r="27" ht="20.1" customHeight="1">
      <c r="A27" s="17"/>
      <c r="B27" t="s" s="28">
        <v>34</v>
      </c>
      <c r="C27" s="19"/>
      <c r="D27" s="14"/>
      <c r="E27" s="14"/>
      <c r="F27" s="14"/>
      <c r="G27" s="14"/>
      <c r="H27" s="14"/>
      <c r="I27" s="14"/>
      <c r="J27" s="14"/>
      <c r="K27" s="15"/>
    </row>
    <row r="28" ht="20.1" customHeight="1">
      <c r="A28" s="29"/>
      <c r="B28" s="21">
        <v>44802</v>
      </c>
      <c r="C28" s="30"/>
      <c r="D28" s="31"/>
      <c r="E28" s="31"/>
      <c r="F28" s="31"/>
      <c r="G28" s="31"/>
      <c r="H28" s="31"/>
      <c r="I28" s="31"/>
      <c r="J28" s="31"/>
      <c r="K28" s="32"/>
    </row>
  </sheetData>
  <mergeCells count="1">
    <mergeCell ref="B2:G2"/>
  </mergeCells>
  <dataValidations count="1">
    <dataValidation type="list" allowBlank="1" showInputMessage="1" showErrorMessage="1" sqref="E5:E25">
      <formula1>"Human Resources,Sales,Legal,Retail,Accounting,Support,Business Development"</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